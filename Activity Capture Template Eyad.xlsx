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Projects\New Healthcare Unit\healthcare Digitization Dept\Head Office Tasks\Team\"/>
    </mc:Choice>
  </mc:AlternateContent>
  <xr:revisionPtr revIDLastSave="0" documentId="13_ncr:1_{42A783F3-C49A-4798-958A-63F5731AC51F}" xr6:coauthVersionLast="47" xr6:coauthVersionMax="47" xr10:uidLastSave="{00000000-0000-0000-0000-000000000000}"/>
  <bookViews>
    <workbookView xWindow="-45120" yWindow="-1380" windowWidth="16440" windowHeight="28320" xr2:uid="{DE8704D1-DA8F-486A-BBA2-31976991C403}"/>
  </bookViews>
  <sheets>
    <sheet name="Survey" sheetId="1" r:id="rId1"/>
    <sheet name="Smpl-FIN" sheetId="4" r:id="rId2"/>
    <sheet name="Smpl-HR" sheetId="5" r:id="rId3"/>
    <sheet name="Smpl-PMO" sheetId="6" r:id="rId4"/>
    <sheet name="Smpl-Procurement" sheetId="7" r:id="rId5"/>
    <sheet name="Smpl-Exec Assist" sheetId="8" r:id="rId6"/>
    <sheet name="data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7" i="8" s="1"/>
  <c r="D26" i="7"/>
  <c r="D27" i="7" s="1"/>
  <c r="D26" i="6"/>
  <c r="D27" i="6" s="1"/>
  <c r="D26" i="5"/>
  <c r="D27" i="5" s="1"/>
  <c r="D26" i="4"/>
  <c r="D27" i="4" s="1"/>
  <c r="D26" i="1"/>
  <c r="D27" i="1" s="1"/>
</calcChain>
</file>

<file path=xl/sharedStrings.xml><?xml version="1.0" encoding="utf-8"?>
<sst xmlns="http://schemas.openxmlformats.org/spreadsheetml/2006/main" count="407" uniqueCount="213">
  <si>
    <t>A. Individual Activity Sheet</t>
  </si>
  <si>
    <t>Field</t>
  </si>
  <si>
    <t>Description</t>
  </si>
  <si>
    <t>Employee Name</t>
  </si>
  <si>
    <t>Function</t>
  </si>
  <si>
    <t>Job Title</t>
  </si>
  <si>
    <t>Direct Manager</t>
  </si>
  <si>
    <t>Employee Number</t>
  </si>
  <si>
    <t>#</t>
  </si>
  <si>
    <t>Activity Description</t>
  </si>
  <si>
    <t>% Time</t>
  </si>
  <si>
    <t>Output/Deliverable</t>
  </si>
  <si>
    <t>Who Uses It?</t>
  </si>
  <si>
    <t>If Stopped What Happens?</t>
  </si>
  <si>
    <t>Can Be Automated? (Y/N)</t>
  </si>
  <si>
    <t>Value Type 
(Rev / Control / Admin)</t>
  </si>
  <si>
    <t>Daily</t>
  </si>
  <si>
    <t>Weekly</t>
  </si>
  <si>
    <t>Monthly</t>
  </si>
  <si>
    <t>Annual</t>
  </si>
  <si>
    <t>Yes</t>
  </si>
  <si>
    <t>No</t>
  </si>
  <si>
    <t>PMO</t>
  </si>
  <si>
    <t>PMs</t>
  </si>
  <si>
    <t>Review</t>
  </si>
  <si>
    <t>Control</t>
  </si>
  <si>
    <t>Admin</t>
  </si>
  <si>
    <t>Administer</t>
  </si>
  <si>
    <t>Nothing</t>
  </si>
  <si>
    <t>Financial loss</t>
  </si>
  <si>
    <t>Customer unhappy</t>
  </si>
  <si>
    <t>Other departments delayed</t>
  </si>
  <si>
    <t>my boss is upset</t>
  </si>
  <si>
    <t>Not sure</t>
  </si>
  <si>
    <t>Frequency</t>
  </si>
  <si>
    <t>Prepare weekly AR aging report by customer and overdue bucket</t>
  </si>
  <si>
    <t>AR aging report</t>
  </si>
  <si>
    <t>CFO, Finance Manager, Collections Team</t>
  </si>
  <si>
    <t>Control / Cash</t>
  </si>
  <si>
    <t>Reduced visibility on overdue receivables</t>
  </si>
  <si>
    <t>Reconcile customer payments received against invoices in ERP</t>
  </si>
  <si>
    <t>Updated receivables ledger</t>
  </si>
  <si>
    <t>Finance, Collections</t>
  </si>
  <si>
    <t>Misstatement of balances and collection delays</t>
  </si>
  <si>
    <t>Partial</t>
  </si>
  <si>
    <t>Follow up with project teams for missing invoice support documents</t>
  </si>
  <si>
    <t>Completed billing backup files</t>
  </si>
  <si>
    <t>Finance, Billing Team</t>
  </si>
  <si>
    <t>Revenue / Control</t>
  </si>
  <si>
    <t>Billing delays and cash collection delays</t>
  </si>
  <si>
    <t>Prepare monthly customer statement of accounts</t>
  </si>
  <si>
    <t>SOA files</t>
  </si>
  <si>
    <t>Customers, Collections</t>
  </si>
  <si>
    <t>Cash</t>
  </si>
  <si>
    <t>Slower collections and disputes</t>
  </si>
  <si>
    <t>Assist in month-end receivables closing and provisions analysis</t>
  </si>
  <si>
    <t>Closing schedules / provision file</t>
  </si>
  <si>
    <t>Finance Manager, CFO</t>
  </si>
  <si>
    <t>Control / Reporting</t>
  </si>
  <si>
    <t>Delayed month-end close</t>
  </si>
  <si>
    <t>Respond to internal and external queries related to customer balances</t>
  </si>
  <si>
    <t>Clarifications / reconciliations</t>
  </si>
  <si>
    <t>Customers, Sales, Projects</t>
  </si>
  <si>
    <t>Support / Cash</t>
  </si>
  <si>
    <t>Delays in issue resolution</t>
  </si>
  <si>
    <t>Ahmed</t>
  </si>
  <si>
    <t>Fianance</t>
  </si>
  <si>
    <t>Analyst</t>
  </si>
  <si>
    <t>Finance Manager</t>
  </si>
  <si>
    <t>Prepare employment contracts, renewals, and offer letters for new hires and renewals</t>
  </si>
  <si>
    <t>Signed employment documents</t>
  </si>
  <si>
    <t>Employees, HR, Management</t>
  </si>
  <si>
    <t>Compliance / Admin</t>
  </si>
  <si>
    <t>Hiring and renewal delays</t>
  </si>
  <si>
    <t>Coordinate onboarding activities (documents, induction, system access requests)</t>
  </si>
  <si>
    <t>Onboarding completion checklist</t>
  </si>
  <si>
    <t>New hires, IT, HR</t>
  </si>
  <si>
    <t>Admin / Support</t>
  </si>
  <si>
    <t>Poor onboarding experience and delayed productivity</t>
  </si>
  <si>
    <t>Maintain employee files and update HRIS records</t>
  </si>
  <si>
    <t>Updated employee records</t>
  </si>
  <si>
    <t>HR, Payroll, Management</t>
  </si>
  <si>
    <t>Data errors and compliance gaps</t>
  </si>
  <si>
    <t>Track probation reviews and contract expiry alerts</t>
  </si>
  <si>
    <t>Tracking sheet / reminders</t>
  </si>
  <si>
    <t>HR Manager, Line Managers</t>
  </si>
  <si>
    <t>Control / Admin</t>
  </si>
  <si>
    <t>Missed probation and contract deadlines</t>
  </si>
  <si>
    <t>Respond to employee HR requests (letters, policies, leave clarification, benefits questions)</t>
  </si>
  <si>
    <t>HR service responses</t>
  </si>
  <si>
    <t>Employees</t>
  </si>
  <si>
    <t>Support</t>
  </si>
  <si>
    <t>Increased employee complaints and unresolved requests</t>
  </si>
  <si>
    <t>Prepare monthly HR dashboard (headcount, turnover, vacancies, Saudization status)</t>
  </si>
  <si>
    <t>HR dashboard</t>
  </si>
  <si>
    <t>CEO, HR Manager, Management</t>
  </si>
  <si>
    <t>Reporting / Control</t>
  </si>
  <si>
    <t>Reduced visibility for decision-making</t>
  </si>
  <si>
    <t>Sarah</t>
  </si>
  <si>
    <t>HR</t>
  </si>
  <si>
    <t>HR Manager</t>
  </si>
  <si>
    <t>Faisal</t>
  </si>
  <si>
    <t>PMO Manager</t>
  </si>
  <si>
    <t>PMO Coordinator</t>
  </si>
  <si>
    <t>Collect weekly project updates from project managers</t>
  </si>
  <si>
    <t>Updated status inputs</t>
  </si>
  <si>
    <t>Admin / Reporting</t>
  </si>
  <si>
    <t>No consolidated project visibility</t>
  </si>
  <si>
    <t>Prepare weekly project status dashboard (schedule, budget, risks, issues)</t>
  </si>
  <si>
    <t>PMO dashboard</t>
  </si>
  <si>
    <t>CEO, Delivery, PMO</t>
  </si>
  <si>
    <t>Management loses structured project visibility</t>
  </si>
  <si>
    <t>Follow up on overdue action items and unresolved project risks</t>
  </si>
  <si>
    <t>Action tracker / escalation list</t>
  </si>
  <si>
    <t>PMs, PMO Manager</t>
  </si>
  <si>
    <t>Slower issue closure and escalations missed</t>
  </si>
  <si>
    <t>Maintain project document repository and templates</t>
  </si>
  <si>
    <t>Updated templates / repository</t>
  </si>
  <si>
    <t>Inconsistent reporting and missing documentation</t>
  </si>
  <si>
    <t>Support governance meetings by preparing packs and minutes</t>
  </si>
  <si>
    <t>Meeting pack / MoM</t>
  </si>
  <si>
    <t>PMO, Management</t>
  </si>
  <si>
    <t>Admin / Governance</t>
  </si>
  <si>
    <t>Weak governance follow-up</t>
  </si>
  <si>
    <t>Track project change requests and approval status</t>
  </si>
  <si>
    <t>Change request log</t>
  </si>
  <si>
    <t>PMO, Delivery, Finance</t>
  </si>
  <si>
    <t>Poor change visibility and delayed approvals</t>
  </si>
  <si>
    <t>Review and process purchase requisitions from business units</t>
  </si>
  <si>
    <t>Approved / processed PRs</t>
  </si>
  <si>
    <t>Projects, Admin, Finance</t>
  </si>
  <si>
    <t>Operational Support</t>
  </si>
  <si>
    <t>Delayed procurement cycle</t>
  </si>
  <si>
    <t>Obtain quotations from approved vendors and compare offers</t>
  </si>
  <si>
    <t>Vendor comparison sheet / quotation file</t>
  </si>
  <si>
    <t>Procurement, Requesting Dept</t>
  </si>
  <si>
    <t>Cost / Operational</t>
  </si>
  <si>
    <t>Slower sourcing and higher purchase cost risk</t>
  </si>
  <si>
    <t>Issue purchase orders and coordinate order confirmations</t>
  </si>
  <si>
    <t>Purchase Orders</t>
  </si>
  <si>
    <t>Vendors, Finance, Projects</t>
  </si>
  <si>
    <t>Operational</t>
  </si>
  <si>
    <t>Delayed supply fulfillment</t>
  </si>
  <si>
    <t>Follow up with vendors on delivery commitments and shipment status</t>
  </si>
  <si>
    <t>Delivery follow-up updates</t>
  </si>
  <si>
    <t>Projects, Warehouse</t>
  </si>
  <si>
    <t>Delivery slippage and project delays</t>
  </si>
  <si>
    <t>Maintain vendor records and approved supplier list</t>
  </si>
  <si>
    <t>Updated vendor database</t>
  </si>
  <si>
    <t>Procurement, Finance</t>
  </si>
  <si>
    <t>Vendor quality / compliance gaps</t>
  </si>
  <si>
    <t>Resolve invoice / PO mismatches with vendors and finance</t>
  </si>
  <si>
    <t>Resolved discrepancies</t>
  </si>
  <si>
    <t>Finance, Vendors</t>
  </si>
  <si>
    <t>Payment delays and disputes</t>
  </si>
  <si>
    <t>Abdullah</t>
  </si>
  <si>
    <t>Procurement</t>
  </si>
  <si>
    <t>Procurement Officer</t>
  </si>
  <si>
    <t>Procurement Manager</t>
  </si>
  <si>
    <t>HR Officer</t>
  </si>
  <si>
    <t>Saad</t>
  </si>
  <si>
    <t>Executive Office</t>
  </si>
  <si>
    <t>Executive Assistant</t>
  </si>
  <si>
    <t>MD</t>
  </si>
  <si>
    <t>Manage executive calendar, meeting scheduling, and conflict resolution</t>
  </si>
  <si>
    <t>Updated calendar and meeting schedule</t>
  </si>
  <si>
    <t>Executive</t>
  </si>
  <si>
    <t>Missed or poorly coordinated meetings</t>
  </si>
  <si>
    <t>Prepare meeting packs and compile supporting materials</t>
  </si>
  <si>
    <t>Meeting packs</t>
  </si>
  <si>
    <t>Executive, Leadership Team</t>
  </si>
  <si>
    <t>Poor meeting readiness</t>
  </si>
  <si>
    <t>Draft and format executive correspondence and internal memos</t>
  </si>
  <si>
    <t>Emails / memos / letters</t>
  </si>
  <si>
    <t>Slower communication turnaround</t>
  </si>
  <si>
    <t>Track action items from leadership meetings and follow up with owners</t>
  </si>
  <si>
    <t>Action tracker</t>
  </si>
  <si>
    <t>Governance / Support</t>
  </si>
  <si>
    <t>Poor follow-up and accountability</t>
  </si>
  <si>
    <t>Coordinate travel, logistics, and hospitality arrangements</t>
  </si>
  <si>
    <t>Monthly / As Needed</t>
  </si>
  <si>
    <t>Travel bookings / arrangements</t>
  </si>
  <si>
    <t>Disruption in executive logistics</t>
  </si>
  <si>
    <t>Maintain filing and confidential records</t>
  </si>
  <si>
    <t>Updated records</t>
  </si>
  <si>
    <t>Poor document organization</t>
  </si>
  <si>
    <t>Eyad Alsadouni</t>
  </si>
  <si>
    <t xml:space="preserve">Healthcare </t>
  </si>
  <si>
    <t>AI Engineer</t>
  </si>
  <si>
    <t xml:space="preserve">Atif Ahsan </t>
  </si>
  <si>
    <t>Patients for specific hospitals</t>
  </si>
  <si>
    <t>Hospitals, clinics, and 
dental clinics</t>
  </si>
  <si>
    <t>Our team/ our company</t>
  </si>
  <si>
    <t>Development team</t>
  </si>
  <si>
    <t>Learning about AI by taking courses and 
learning from the internet about what's
happening and what's new in the world</t>
  </si>
  <si>
    <t>Physical Secuirty Team</t>
  </si>
  <si>
    <t>TMKN Clinic</t>
  </si>
  <si>
    <t>Develop Patient Portal mobile app using React Native and Expo</t>
  </si>
  <si>
    <t>Develop OIP internal ticketing system mobile app using React Native</t>
  </si>
  <si>
    <t>Build TMKN agent chat mobile app for real-time WhatsApp support</t>
  </si>
  <si>
    <t>Perform QA testing and bug logging across HIS, RCM, Dental and TMKN applications</t>
  </si>
  <si>
    <t>Deepen knowledge of HIS, RCM and Dental web applications to support demos and onboarding</t>
  </si>
  <si>
    <t>Coordinate with development team on
mobile app requirements and bug fixes</t>
  </si>
  <si>
    <t>App builds and new features</t>
  </si>
  <si>
    <t>Working mobile app with new features</t>
  </si>
  <si>
    <t>Functional agent chat app</t>
  </si>
  <si>
    <t>Logged bugs and test reports</t>
  </si>
  <si>
    <t>Task updates and
resolved issues</t>
  </si>
  <si>
    <t>Myself</t>
  </si>
  <si>
    <t>Use AI  in real time Health Projects,</t>
  </si>
  <si>
    <t>Support sales activities by conducting product demos and hospital visits. Arrange and conduct meetings with the investors.</t>
  </si>
  <si>
    <t>Demo sessions and client contacts. Arranged a meeting of Mr. Sultan Alhujilan with the Mangement</t>
  </si>
  <si>
    <t>Product knowledge updates
Hospital, visited Al Nakheel
hospital.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</si>
</sst>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9" fontId="0" fillId="2" borderId="0" xfId="1" applyFont="1" applyFill="1"/>
    <xf numFmtId="0" fontId="0" fillId="0" borderId="0" xfId="0" applyAlignment="1" applyProtection="1">
      <alignment vertical="center" wrapText="1"/>
      <protection locked="0"/>
    </xf>
    <xf numFmtId="9" fontId="0" fillId="0" borderId="0" xfId="1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9" fontId="0" fillId="0" borderId="0" xfId="1" applyFont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9" fontId="0" fillId="0" borderId="0" xfId="1" applyFont="1" applyAlignment="1" applyProtection="1">
      <alignment vertical="center" wrapText="1"/>
    </xf>
    <xf numFmtId="9" fontId="0" fillId="0" borderId="0" xfId="1" applyFont="1" applyProtection="1"/>
    <xf numFmtId="9" fontId="0" fillId="2" borderId="0" xfId="1" applyFont="1" applyFill="1" applyProtection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9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CC717-D550-47F5-BFDF-D13B6813550B}" name="Table1" displayName="Table1" ref="A10:I25" totalsRowShown="0" headerRowDxfId="93">
  <autoFilter ref="A10:I25" xr:uid="{BDFCC717-D550-47F5-BFDF-D13B6813550B}"/>
  <tableColumns count="9">
    <tableColumn id="1" xr3:uid="{B84C9F3A-C5C6-41F8-91A4-03BAA2906567}" name="#" dataDxfId="92"/>
    <tableColumn id="2" xr3:uid="{60808352-3928-4CB0-9707-BF325591AD43}" name="Activity Description" dataDxfId="91"/>
    <tableColumn id="3" xr3:uid="{EF761CEB-F188-4536-947B-620BC6B2C2CC}" name="Frequency" dataDxfId="90"/>
    <tableColumn id="4" xr3:uid="{F9B0EF13-4285-49F2-B9D9-B14E9F568201}" name="% Time" dataDxfId="89" dataCellStyle="Percent"/>
    <tableColumn id="5" xr3:uid="{2D454D86-FD71-4FD2-97ED-4C3DEC41DC80}" name="Output/Deliverable" dataDxfId="88"/>
    <tableColumn id="6" xr3:uid="{A7807442-DBBF-4447-98F5-06965CDD3EE6}" name="Who Uses It?" dataDxfId="87"/>
    <tableColumn id="7" xr3:uid="{CB81629F-64D6-47BD-96A0-589FE3670C21}" name="Value Type _x000a_(Rev / Control / Admin)" dataDxfId="86"/>
    <tableColumn id="8" xr3:uid="{7F748F01-D964-4E88-AEAD-5D1D77DD494E}" name="If Stopped What Happens?" dataDxfId="85"/>
    <tableColumn id="9" xr3:uid="{16334BD1-0589-4B95-807D-DC3D482ED218}" name="Can Be Automated? (Y/N)" dataDxfId="8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9EDEB-B76A-4919-B30F-73064082EB66}" name="Table2" displayName="Table2" ref="A3:B8" totalsRowShown="0" headerRowDxfId="83">
  <autoFilter ref="A3:B8" xr:uid="{4B09EDEB-B76A-4919-B30F-73064082EB66}"/>
  <tableColumns count="2">
    <tableColumn id="1" xr3:uid="{D52562F1-C97B-449F-B700-A336F3CA2E20}" name="Field" dataDxfId="82"/>
    <tableColumn id="2" xr3:uid="{2EA5D375-A477-4280-B756-A84A16AA1996}" name="Description" dataDxfId="8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2B1DA-7667-44C1-B51E-A2CE506DE115}" name="Table14" displayName="Table14" ref="A10:I25" totalsRowShown="0" headerRowDxfId="80" dataDxfId="79">
  <autoFilter ref="A10:I25" xr:uid="{BDFCC717-D550-47F5-BFDF-D13B6813550B}"/>
  <tableColumns count="9">
    <tableColumn id="1" xr3:uid="{F2B1FD0D-95F3-4777-BB48-3505BF215272}" name="#" dataDxfId="78"/>
    <tableColumn id="2" xr3:uid="{46018DF5-469F-48EC-A858-1964A3B86296}" name="Activity Description" dataDxfId="77"/>
    <tableColumn id="3" xr3:uid="{E6990CAF-9FBE-46DB-B3C7-9B524109A21D}" name="Frequency" dataDxfId="76"/>
    <tableColumn id="4" xr3:uid="{BF2E954B-3490-445F-8F8D-BF5C2811A3F9}" name="% Time" dataDxfId="75" dataCellStyle="Percent"/>
    <tableColumn id="5" xr3:uid="{72FC5044-01CA-4F34-91A0-786A51EDA651}" name="Output/Deliverable" dataDxfId="74"/>
    <tableColumn id="6" xr3:uid="{065EF4A7-5513-4086-98DD-3469C95A7E16}" name="Who Uses It?" dataDxfId="73"/>
    <tableColumn id="7" xr3:uid="{47B9A08D-6ED7-42D3-B3B9-48477D40DDDC}" name="Value Type _x000a_(Rev / Control / Admin)" dataDxfId="72"/>
    <tableColumn id="8" xr3:uid="{F2F8889F-3064-4DF0-9594-5895C304A74B}" name="If Stopped What Happens?" dataDxfId="71"/>
    <tableColumn id="9" xr3:uid="{A4A2D50D-84BC-4AAB-9996-51667C2CA1D3}" name="Can Be Automated? (Y/N)" dataDxfId="7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8CF7C2-9C0A-4918-8DCF-4B57824F780B}" name="Table25" displayName="Table25" ref="A3:B8" totalsRowShown="0" headerRowDxfId="69" dataDxfId="68">
  <autoFilter ref="A3:B8" xr:uid="{4B09EDEB-B76A-4919-B30F-73064082EB66}"/>
  <tableColumns count="2">
    <tableColumn id="1" xr3:uid="{FB367336-248A-4340-9FF2-DCE5DECF77DF}" name="Field" dataDxfId="67"/>
    <tableColumn id="2" xr3:uid="{92CB2B0F-240D-4F13-8ECB-82CB19D218F6}" name="Description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FE214-9757-4CAD-9216-CAC92FF3C26B}" name="Table146" displayName="Table146" ref="A10:I25" totalsRowShown="0" headerRowDxfId="65" dataDxfId="64">
  <autoFilter ref="A10:I25" xr:uid="{BDFCC717-D550-47F5-BFDF-D13B6813550B}"/>
  <tableColumns count="9">
    <tableColumn id="1" xr3:uid="{1DFE8A11-090B-4535-B14A-FACA5178814D}" name="#" dataDxfId="63"/>
    <tableColumn id="2" xr3:uid="{F0DFC549-F5D9-4AAF-B401-8F6B95259327}" name="Activity Description" dataDxfId="62"/>
    <tableColumn id="3" xr3:uid="{BEE43444-907D-41D7-A41F-BD831F7F2308}" name="Frequency" dataDxfId="61"/>
    <tableColumn id="4" xr3:uid="{9A88A535-23E4-4B31-8B51-D41DDBCF8839}" name="% Time" dataDxfId="60" dataCellStyle="Percent"/>
    <tableColumn id="5" xr3:uid="{FD467280-DDA3-4C2D-95C8-6A8C2BC2B8B9}" name="Output/Deliverable" dataDxfId="59"/>
    <tableColumn id="6" xr3:uid="{84678DBE-E5D8-469D-942F-9FADCC088243}" name="Who Uses It?" dataDxfId="58"/>
    <tableColumn id="7" xr3:uid="{CE185225-8E33-4A1A-B478-3A344FCE44B4}" name="Value Type _x000a_(Rev / Control / Admin)" dataDxfId="57"/>
    <tableColumn id="8" xr3:uid="{56CBE7DC-7292-404D-A9DB-E8CC082E541B}" name="If Stopped What Happens?" dataDxfId="56"/>
    <tableColumn id="9" xr3:uid="{85F20EAE-DCE0-48CE-8260-692B1A33922F}" name="Can Be Automated? (Y/N)" dataDxfId="5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295DFB-9255-4D7B-AB47-E3323902BFE3}" name="Table257" displayName="Table257" ref="A3:B8" totalsRowShown="0" headerRowDxfId="54" dataDxfId="53">
  <autoFilter ref="A3:B8" xr:uid="{4B09EDEB-B76A-4919-B30F-73064082EB66}"/>
  <tableColumns count="2">
    <tableColumn id="1" xr3:uid="{6F84BBD7-A02C-4726-8FBB-2FFF67EAE883}" name="Field" dataDxfId="52"/>
    <tableColumn id="2" xr3:uid="{42A1EC1B-5BA5-44D3-8B48-398CB60C1822}" name="Description" dataDxfId="5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74ED5B-DECA-47B4-B4F6-B638FC6C253B}" name="Table1468" displayName="Table1468" ref="A10:I25" totalsRowShown="0" headerRowDxfId="50" dataDxfId="49">
  <autoFilter ref="A10:I25" xr:uid="{BDFCC717-D550-47F5-BFDF-D13B6813550B}"/>
  <tableColumns count="9">
    <tableColumn id="1" xr3:uid="{6A5FE467-3E25-4A14-BA6B-7CBECEB219EF}" name="#" dataDxfId="48"/>
    <tableColumn id="2" xr3:uid="{3653D09F-E5D7-4A21-98D8-B95708DECB3C}" name="Activity Description" dataDxfId="47"/>
    <tableColumn id="3" xr3:uid="{E3A23311-443A-4C91-9526-54281B6A0243}" name="Frequency" dataDxfId="46"/>
    <tableColumn id="4" xr3:uid="{0DFFB83F-4D99-4DA4-B7FB-252FF456B27F}" name="% Time" dataDxfId="45" dataCellStyle="Percent"/>
    <tableColumn id="5" xr3:uid="{AB0040DC-1A47-4DC0-B164-286FB2FE50FA}" name="Output/Deliverable" dataDxfId="44"/>
    <tableColumn id="6" xr3:uid="{DA6E1382-74E1-4E71-AEF3-0B1C75D9F775}" name="Who Uses It?" dataDxfId="43"/>
    <tableColumn id="7" xr3:uid="{3BE334F8-7541-46A7-BD75-412DA0E1CDEE}" name="Value Type _x000a_(Rev / Control / Admin)" dataDxfId="42"/>
    <tableColumn id="8" xr3:uid="{2CEB4435-67C5-4381-A721-D9AF6122974E}" name="If Stopped What Happens?" dataDxfId="41"/>
    <tableColumn id="9" xr3:uid="{45229670-048B-41BC-B63A-6AFB733A8B93}" name="Can Be Automated? (Y/N)" dataDxfId="4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CCC55C-E611-49AA-91F5-0642DA445B33}" name="Table2579" displayName="Table2579" ref="A3:B8" totalsRowShown="0" headerRowDxfId="39" dataDxfId="38">
  <autoFilter ref="A3:B8" xr:uid="{4B09EDEB-B76A-4919-B30F-73064082EB66}"/>
  <tableColumns count="2">
    <tableColumn id="1" xr3:uid="{D5533BEB-CE3B-4C96-8ACB-BF47D9E40660}" name="Field" dataDxfId="37"/>
    <tableColumn id="2" xr3:uid="{972245B3-EB0C-49B1-B1B5-ECC5986A114C}" name="Description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C05F86-42A3-4DD6-8C13-764EF3353314}" name="Table146810" displayName="Table146810" ref="A10:I25" totalsRowShown="0" headerRowDxfId="35" dataDxfId="34">
  <autoFilter ref="A10:I25" xr:uid="{BDFCC717-D550-47F5-BFDF-D13B6813550B}"/>
  <tableColumns count="9">
    <tableColumn id="1" xr3:uid="{57AF9972-D619-47B8-9777-4FFC7FC04949}" name="#" dataDxfId="33"/>
    <tableColumn id="2" xr3:uid="{7F3A6890-2D8B-4F10-9B31-22FB119CC085}" name="Activity Description" dataDxfId="32"/>
    <tableColumn id="3" xr3:uid="{39C64B4B-15BC-4ADC-8E1D-C5B561ED98B2}" name="Frequency" dataDxfId="31"/>
    <tableColumn id="4" xr3:uid="{735A700E-5C4C-40D4-9E61-A663626C6734}" name="% Time" dataDxfId="30" dataCellStyle="Percent"/>
    <tableColumn id="5" xr3:uid="{DB5267C0-6A83-4925-82C8-28573C3FDA40}" name="Output/Deliverable" dataDxfId="29"/>
    <tableColumn id="6" xr3:uid="{207EFCCC-8AF4-4792-A14C-F05F33284E96}" name="Who Uses It?" dataDxfId="28"/>
    <tableColumn id="7" xr3:uid="{FC76912E-B5FF-4C9A-8ADA-BCAD71510D8E}" name="Value Type _x000a_(Rev / Control / Admin)" dataDxfId="27"/>
    <tableColumn id="8" xr3:uid="{AC32E71E-491A-483E-BD62-E4802C96525E}" name="If Stopped What Happens?" dataDxfId="26"/>
    <tableColumn id="9" xr3:uid="{5ADB2C08-4B82-48C1-A3A3-A1629C5D10A7}" name="Can Be Automated? (Y/N)" dataDxfId="2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8F54D9-642A-417C-91B8-F472A6F5A2ED}" name="Table257911" displayName="Table257911" ref="A3:B8" totalsRowShown="0" headerRowDxfId="24" dataDxfId="23">
  <autoFilter ref="A3:B8" xr:uid="{4B09EDEB-B76A-4919-B30F-73064082EB66}"/>
  <tableColumns count="2">
    <tableColumn id="1" xr3:uid="{61A7B31C-7AD4-4326-8BF2-FB4031F08704}" name="Field" dataDxfId="22"/>
    <tableColumn id="2" xr3:uid="{08A5C20E-51EA-45F5-8A1A-5BF4924073C5}" name="Description" dataDxfId="2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BA231B-8570-4017-B70F-9266CA39B9BE}" name="Table14681012" displayName="Table14681012" ref="A10:I25" totalsRowShown="0" headerRowDxfId="20" dataDxfId="19">
  <autoFilter ref="A10:I25" xr:uid="{BDFCC717-D550-47F5-BFDF-D13B6813550B}"/>
  <tableColumns count="9">
    <tableColumn id="1" xr3:uid="{CEEE8C64-C150-45CD-90E9-C648B8A7EF75}" name="#" dataDxfId="18"/>
    <tableColumn id="2" xr3:uid="{3EB2DA3F-913F-4A1E-99F7-EE47ED25E702}" name="Activity Description" dataDxfId="17"/>
    <tableColumn id="3" xr3:uid="{3B6954EE-1D34-40DB-925E-DE43BEA82EEC}" name="Frequency" dataDxfId="16"/>
    <tableColumn id="4" xr3:uid="{C669ECD4-3372-4FDF-95A8-B9BD3EF3C8AB}" name="% Time" dataDxfId="15" dataCellStyle="Percent"/>
    <tableColumn id="5" xr3:uid="{7626F815-4E98-4E06-B447-7A8F56D73596}" name="Output/Deliverable" dataDxfId="14"/>
    <tableColumn id="6" xr3:uid="{72C319C0-BF95-4A42-9A5F-BF22D2CC7109}" name="Who Uses It?" dataDxfId="13"/>
    <tableColumn id="7" xr3:uid="{95D56E8C-7F3D-4B46-874F-7595B9237D1F}" name="Value Type _x000a_(Rev / Control / Admin)" dataDxfId="12"/>
    <tableColumn id="8" xr3:uid="{642B6B28-6DAE-4720-ADF4-02F8FC3824C7}" name="If Stopped What Happens?" dataDxfId="11"/>
    <tableColumn id="9" xr3:uid="{83CDF128-42F2-49EF-8604-B9119208AF82}" name="Can Be Automated? (Y/N)" dataDxfId="10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6980F9-E770-4C3C-9323-9B9F63FBA2C0}" name="Table25791113" displayName="Table25791113" ref="A3:B8" totalsRowShown="0" headerRowDxfId="9" dataDxfId="8">
  <autoFilter ref="A3:B8" xr:uid="{4B09EDEB-B76A-4919-B30F-73064082EB66}"/>
  <tableColumns count="2">
    <tableColumn id="1" xr3:uid="{04C48B6D-A07C-4904-83F0-46251D1E9C4F}" name="Field" dataDxfId="7"/>
    <tableColumn id="2" xr3:uid="{D4F6BE25-D3F4-4C19-8B1D-A2EB11939B6F}" name="Description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6143-06B9-46BC-8685-D09694ED7820}">
  <dimension ref="A1:I27"/>
  <sheetViews>
    <sheetView tabSelected="1" zoomScaleNormal="100" workbookViewId="0">
      <selection activeCell="G32" sqref="G32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0" t="s">
        <v>186</v>
      </c>
    </row>
    <row r="5" spans="1:9" ht="30" x14ac:dyDescent="0.25">
      <c r="A5" s="3" t="s">
        <v>7</v>
      </c>
      <c r="B5" s="11">
        <v>21397</v>
      </c>
    </row>
    <row r="6" spans="1:9" x14ac:dyDescent="0.25">
      <c r="A6" s="3" t="s">
        <v>4</v>
      </c>
      <c r="B6" s="10" t="s">
        <v>187</v>
      </c>
    </row>
    <row r="7" spans="1:9" x14ac:dyDescent="0.25">
      <c r="A7" s="3" t="s">
        <v>5</v>
      </c>
      <c r="B7" s="10" t="s">
        <v>188</v>
      </c>
    </row>
    <row r="8" spans="1:9" x14ac:dyDescent="0.25">
      <c r="A8" s="3" t="s">
        <v>6</v>
      </c>
      <c r="B8" s="10" t="s">
        <v>189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30" x14ac:dyDescent="0.25">
      <c r="A11" s="1">
        <v>1</v>
      </c>
      <c r="B11" s="6" t="s">
        <v>197</v>
      </c>
      <c r="C11" s="6" t="s">
        <v>16</v>
      </c>
      <c r="D11" s="7">
        <v>0.2</v>
      </c>
      <c r="E11" s="6" t="s">
        <v>203</v>
      </c>
      <c r="F11" s="6" t="s">
        <v>190</v>
      </c>
      <c r="G11" s="6" t="s">
        <v>24</v>
      </c>
      <c r="H11" s="6" t="s">
        <v>29</v>
      </c>
      <c r="I11" s="6" t="s">
        <v>21</v>
      </c>
    </row>
    <row r="12" spans="1:9" ht="45" x14ac:dyDescent="0.25">
      <c r="A12" s="1">
        <v>2</v>
      </c>
      <c r="B12" s="6" t="s">
        <v>198</v>
      </c>
      <c r="C12" s="6" t="s">
        <v>16</v>
      </c>
      <c r="D12" s="7">
        <v>0.15</v>
      </c>
      <c r="E12" s="6" t="s">
        <v>204</v>
      </c>
      <c r="F12" s="6" t="s">
        <v>195</v>
      </c>
      <c r="G12" s="6" t="s">
        <v>25</v>
      </c>
      <c r="H12" s="6" t="s">
        <v>30</v>
      </c>
      <c r="I12" s="6" t="s">
        <v>21</v>
      </c>
    </row>
    <row r="13" spans="1:9" ht="30" x14ac:dyDescent="0.25">
      <c r="A13" s="1">
        <v>3</v>
      </c>
      <c r="B13" s="6" t="s">
        <v>199</v>
      </c>
      <c r="C13" s="8" t="s">
        <v>16</v>
      </c>
      <c r="D13" s="9">
        <v>0.15</v>
      </c>
      <c r="E13" s="17" t="s">
        <v>205</v>
      </c>
      <c r="F13" s="8" t="s">
        <v>196</v>
      </c>
      <c r="G13" s="8" t="s">
        <v>24</v>
      </c>
      <c r="H13" s="8" t="s">
        <v>29</v>
      </c>
      <c r="I13" s="8" t="s">
        <v>21</v>
      </c>
    </row>
    <row r="14" spans="1:9" ht="45" x14ac:dyDescent="0.25">
      <c r="A14" s="1">
        <v>4</v>
      </c>
      <c r="B14" s="6" t="s">
        <v>200</v>
      </c>
      <c r="C14" s="8" t="s">
        <v>17</v>
      </c>
      <c r="D14" s="9">
        <v>0.12</v>
      </c>
      <c r="E14" s="17" t="s">
        <v>206</v>
      </c>
      <c r="F14" s="17" t="s">
        <v>191</v>
      </c>
      <c r="G14" s="8" t="s">
        <v>25</v>
      </c>
      <c r="H14" s="8" t="s">
        <v>30</v>
      </c>
      <c r="I14" s="8" t="s">
        <v>21</v>
      </c>
    </row>
    <row r="15" spans="1:9" ht="75" x14ac:dyDescent="0.25">
      <c r="A15" s="1">
        <v>5</v>
      </c>
      <c r="B15" s="17" t="s">
        <v>201</v>
      </c>
      <c r="C15" s="8" t="s">
        <v>17</v>
      </c>
      <c r="D15" s="9">
        <v>0.1</v>
      </c>
      <c r="E15" s="17" t="s">
        <v>212</v>
      </c>
      <c r="F15" s="8" t="s">
        <v>192</v>
      </c>
      <c r="G15" s="8" t="s">
        <v>24</v>
      </c>
      <c r="H15" s="8" t="s">
        <v>31</v>
      </c>
      <c r="I15" s="8" t="s">
        <v>21</v>
      </c>
    </row>
    <row r="16" spans="1:9" ht="75" x14ac:dyDescent="0.25">
      <c r="A16" s="1">
        <v>6</v>
      </c>
      <c r="B16" s="17" t="s">
        <v>210</v>
      </c>
      <c r="C16" s="8" t="s">
        <v>17</v>
      </c>
      <c r="D16" s="9">
        <v>0.08</v>
      </c>
      <c r="E16" s="17" t="s">
        <v>211</v>
      </c>
      <c r="F16" s="8" t="s">
        <v>193</v>
      </c>
      <c r="G16" s="8" t="s">
        <v>24</v>
      </c>
      <c r="H16" s="8" t="s">
        <v>28</v>
      </c>
      <c r="I16" s="8" t="s">
        <v>21</v>
      </c>
    </row>
    <row r="17" spans="1:9" ht="90" x14ac:dyDescent="0.25">
      <c r="A17" s="1">
        <v>7</v>
      </c>
      <c r="B17" s="17" t="s">
        <v>194</v>
      </c>
      <c r="C17" s="8" t="s">
        <v>16</v>
      </c>
      <c r="D17" s="9">
        <v>0.1</v>
      </c>
      <c r="E17" s="17" t="s">
        <v>209</v>
      </c>
      <c r="F17" s="8" t="s">
        <v>208</v>
      </c>
      <c r="G17" s="8" t="s">
        <v>27</v>
      </c>
      <c r="H17" s="8" t="s">
        <v>32</v>
      </c>
      <c r="I17" s="8" t="s">
        <v>33</v>
      </c>
    </row>
    <row r="18" spans="1:9" ht="60" x14ac:dyDescent="0.25">
      <c r="A18" s="1">
        <v>8</v>
      </c>
      <c r="B18" s="17" t="s">
        <v>202</v>
      </c>
      <c r="C18" s="8" t="s">
        <v>17</v>
      </c>
      <c r="D18" s="9">
        <v>0.1</v>
      </c>
      <c r="E18" s="17" t="s">
        <v>207</v>
      </c>
      <c r="F18" s="8" t="s">
        <v>193</v>
      </c>
      <c r="G18" s="8" t="s">
        <v>27</v>
      </c>
      <c r="H18" s="8" t="s">
        <v>29</v>
      </c>
      <c r="I18" s="8" t="s">
        <v>21</v>
      </c>
    </row>
    <row r="19" spans="1:9" x14ac:dyDescent="0.25">
      <c r="A19" s="1">
        <v>9</v>
      </c>
      <c r="B19" s="8"/>
      <c r="C19" s="8"/>
      <c r="D19" s="9"/>
      <c r="E19" s="8"/>
      <c r="F19" s="8"/>
      <c r="G19" s="8"/>
      <c r="H19" s="8"/>
      <c r="I19" s="8"/>
    </row>
    <row r="20" spans="1:9" x14ac:dyDescent="0.25">
      <c r="A20" s="1">
        <v>10</v>
      </c>
      <c r="B20" s="8"/>
      <c r="C20" s="8"/>
      <c r="D20" s="9"/>
      <c r="E20" s="8"/>
      <c r="F20" s="8"/>
      <c r="G20" s="8"/>
      <c r="H20" s="8"/>
      <c r="I20" s="8"/>
    </row>
    <row r="21" spans="1:9" x14ac:dyDescent="0.25">
      <c r="A21" s="1">
        <v>11</v>
      </c>
      <c r="B21" s="8"/>
      <c r="C21" s="8"/>
      <c r="D21" s="9"/>
      <c r="E21" s="8"/>
      <c r="F21" s="8"/>
      <c r="G21" s="8"/>
      <c r="H21" s="8"/>
      <c r="I21" s="8"/>
    </row>
    <row r="22" spans="1:9" x14ac:dyDescent="0.25">
      <c r="A22" s="1">
        <v>12</v>
      </c>
      <c r="B22" s="8"/>
      <c r="C22" s="8"/>
      <c r="D22" s="9"/>
      <c r="E22" s="8"/>
      <c r="F22" s="8"/>
      <c r="G22" s="8"/>
      <c r="H22" s="8"/>
      <c r="I22" s="8"/>
    </row>
    <row r="23" spans="1:9" x14ac:dyDescent="0.25">
      <c r="A23" s="1">
        <v>13</v>
      </c>
      <c r="B23" s="8"/>
      <c r="C23" s="8"/>
      <c r="D23" s="9"/>
      <c r="E23" s="8"/>
      <c r="F23" s="8"/>
      <c r="G23" s="8"/>
      <c r="H23" s="8"/>
      <c r="I23" s="8"/>
    </row>
    <row r="24" spans="1:9" x14ac:dyDescent="0.25">
      <c r="A24" s="1">
        <v>14</v>
      </c>
      <c r="B24" s="8"/>
      <c r="C24" s="8"/>
      <c r="D24" s="9"/>
      <c r="E24" s="8"/>
      <c r="F24" s="8"/>
      <c r="G24" s="8"/>
      <c r="H24" s="8"/>
      <c r="I24" s="8"/>
    </row>
    <row r="25" spans="1:9" x14ac:dyDescent="0.25">
      <c r="A25" s="1">
        <v>15</v>
      </c>
      <c r="B25" s="8"/>
      <c r="C25" s="8"/>
      <c r="D25" s="9"/>
      <c r="E25" s="8"/>
      <c r="F25" s="8"/>
      <c r="G25" s="8"/>
      <c r="H25" s="8"/>
      <c r="I25" s="8"/>
    </row>
    <row r="26" spans="1:9" x14ac:dyDescent="0.25">
      <c r="D26" s="5">
        <f>SUM(D11:D25)</f>
        <v>0.99999999999999989</v>
      </c>
    </row>
    <row r="27" spans="1:9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5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398C72-CF67-4FC9-9FBF-BD41E6F004DF}">
          <x14:formula1>
            <xm:f>data!$A:$A</xm:f>
          </x14:formula1>
          <xm:sqref>C11:C25</xm:sqref>
        </x14:dataValidation>
        <x14:dataValidation type="list" allowBlank="1" showInputMessage="1" showErrorMessage="1" xr:uid="{505E5BA0-E4A9-4C8C-A618-1C8D9EDD009A}">
          <x14:formula1>
            <xm:f>data!$C:$C</xm:f>
          </x14:formula1>
          <xm:sqref>G11:G25</xm:sqref>
        </x14:dataValidation>
        <x14:dataValidation type="list" allowBlank="1" showInputMessage="1" showErrorMessage="1" xr:uid="{66D57385-A959-46E6-9085-20A1E311D563}">
          <x14:formula1>
            <xm:f>data!$D:$D</xm:f>
          </x14:formula1>
          <xm:sqref>H11:H25</xm:sqref>
        </x14:dataValidation>
        <x14:dataValidation type="list" allowBlank="1" showInputMessage="1" showErrorMessage="1" xr:uid="{2B99A18C-2AAF-42C4-A523-B843E60D90A5}">
          <x14:formula1>
            <xm:f>data!$B:$B</xm:f>
          </x14:formula1>
          <xm:sqref>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4E77-6D13-49E9-8D45-BE5E394F4658}">
  <dimension ref="A1:I27"/>
  <sheetViews>
    <sheetView workbookViewId="0">
      <selection activeCell="B13" sqref="B13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2" t="s">
        <v>65</v>
      </c>
    </row>
    <row r="5" spans="1:9" ht="30" x14ac:dyDescent="0.25">
      <c r="A5" s="3" t="s">
        <v>7</v>
      </c>
      <c r="B5" s="13">
        <v>1234</v>
      </c>
    </row>
    <row r="6" spans="1:9" x14ac:dyDescent="0.25">
      <c r="A6" s="3" t="s">
        <v>4</v>
      </c>
      <c r="B6" s="12" t="s">
        <v>66</v>
      </c>
    </row>
    <row r="7" spans="1:9" x14ac:dyDescent="0.25">
      <c r="A7" s="3" t="s">
        <v>5</v>
      </c>
      <c r="B7" s="12" t="s">
        <v>67</v>
      </c>
    </row>
    <row r="8" spans="1:9" x14ac:dyDescent="0.25">
      <c r="A8" s="3" t="s">
        <v>6</v>
      </c>
      <c r="B8" s="12" t="s">
        <v>68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 x14ac:dyDescent="0.25">
      <c r="A11" s="1">
        <v>1</v>
      </c>
      <c r="B11" s="3" t="s">
        <v>35</v>
      </c>
      <c r="C11" s="3" t="s">
        <v>17</v>
      </c>
      <c r="D11" s="14">
        <v>0.2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20</v>
      </c>
    </row>
    <row r="12" spans="1:9" ht="45" x14ac:dyDescent="0.25">
      <c r="A12" s="1">
        <v>2</v>
      </c>
      <c r="B12" s="3" t="s">
        <v>40</v>
      </c>
      <c r="C12" s="3" t="s">
        <v>16</v>
      </c>
      <c r="D12" s="14">
        <v>0.25</v>
      </c>
      <c r="E12" s="3" t="s">
        <v>41</v>
      </c>
      <c r="F12" s="3" t="s">
        <v>42</v>
      </c>
      <c r="G12" s="3" t="s">
        <v>38</v>
      </c>
      <c r="H12" s="3" t="s">
        <v>43</v>
      </c>
      <c r="I12" s="3" t="s">
        <v>44</v>
      </c>
    </row>
    <row r="13" spans="1:9" ht="30" x14ac:dyDescent="0.25">
      <c r="A13" s="1">
        <v>3</v>
      </c>
      <c r="B13" s="3" t="s">
        <v>45</v>
      </c>
      <c r="C13" t="s">
        <v>17</v>
      </c>
      <c r="D13" s="15">
        <v>0.15</v>
      </c>
      <c r="E13" t="s">
        <v>46</v>
      </c>
      <c r="F13" t="s">
        <v>47</v>
      </c>
      <c r="G13" t="s">
        <v>48</v>
      </c>
      <c r="H13" t="s">
        <v>49</v>
      </c>
      <c r="I13" t="s">
        <v>44</v>
      </c>
    </row>
    <row r="14" spans="1:9" ht="30" x14ac:dyDescent="0.25">
      <c r="A14" s="1">
        <v>4</v>
      </c>
      <c r="B14" s="3" t="s">
        <v>50</v>
      </c>
      <c r="C14" t="s">
        <v>18</v>
      </c>
      <c r="D14" s="15">
        <v>0.1</v>
      </c>
      <c r="E14" t="s">
        <v>51</v>
      </c>
      <c r="F14" t="s">
        <v>52</v>
      </c>
      <c r="G14" t="s">
        <v>53</v>
      </c>
      <c r="H14" t="s">
        <v>54</v>
      </c>
      <c r="I14" t="s">
        <v>20</v>
      </c>
    </row>
    <row r="15" spans="1:9" x14ac:dyDescent="0.25">
      <c r="A15" s="1">
        <v>5</v>
      </c>
      <c r="B15" t="s">
        <v>55</v>
      </c>
      <c r="C15" t="s">
        <v>18</v>
      </c>
      <c r="D15" s="15">
        <v>0.2</v>
      </c>
      <c r="E15" t="s">
        <v>56</v>
      </c>
      <c r="F15" t="s">
        <v>57</v>
      </c>
      <c r="G15" t="s">
        <v>58</v>
      </c>
      <c r="H15" t="s">
        <v>59</v>
      </c>
      <c r="I15" t="s">
        <v>44</v>
      </c>
    </row>
    <row r="16" spans="1:9" x14ac:dyDescent="0.25">
      <c r="A16" s="1">
        <v>6</v>
      </c>
      <c r="B16" t="s">
        <v>60</v>
      </c>
      <c r="C16" t="s">
        <v>16</v>
      </c>
      <c r="D16" s="15">
        <v>0.1</v>
      </c>
      <c r="E16" t="s">
        <v>61</v>
      </c>
      <c r="F16" t="s">
        <v>62</v>
      </c>
      <c r="G16" t="s">
        <v>63</v>
      </c>
      <c r="H16" t="s">
        <v>64</v>
      </c>
      <c r="I16" t="s">
        <v>21</v>
      </c>
    </row>
    <row r="17" spans="1:4" x14ac:dyDescent="0.25">
      <c r="A17" s="1">
        <v>7</v>
      </c>
      <c r="D17" s="15"/>
    </row>
    <row r="18" spans="1:4" x14ac:dyDescent="0.25">
      <c r="A18" s="1">
        <v>8</v>
      </c>
      <c r="D18" s="15"/>
    </row>
    <row r="19" spans="1:4" x14ac:dyDescent="0.25">
      <c r="A19" s="1">
        <v>9</v>
      </c>
      <c r="D19" s="15"/>
    </row>
    <row r="20" spans="1:4" x14ac:dyDescent="0.25">
      <c r="A20" s="1">
        <v>10</v>
      </c>
      <c r="D20" s="15"/>
    </row>
    <row r="21" spans="1:4" x14ac:dyDescent="0.25">
      <c r="A21" s="1">
        <v>11</v>
      </c>
      <c r="D21" s="15"/>
    </row>
    <row r="22" spans="1:4" x14ac:dyDescent="0.25">
      <c r="A22" s="1">
        <v>12</v>
      </c>
      <c r="D22" s="15"/>
    </row>
    <row r="23" spans="1:4" x14ac:dyDescent="0.25">
      <c r="A23" s="1">
        <v>13</v>
      </c>
      <c r="D23" s="15"/>
    </row>
    <row r="24" spans="1:4" x14ac:dyDescent="0.25">
      <c r="A24" s="1">
        <v>14</v>
      </c>
      <c r="D24" s="15"/>
    </row>
    <row r="25" spans="1:4" x14ac:dyDescent="0.25">
      <c r="A25" s="1">
        <v>15</v>
      </c>
      <c r="D25" s="15"/>
    </row>
    <row r="26" spans="1:4" x14ac:dyDescent="0.25">
      <c r="D26" s="16">
        <f>SUM(D11:D25)</f>
        <v>0.99999999999999989</v>
      </c>
    </row>
    <row r="27" spans="1:4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4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95F060-704E-467D-8555-68172D8169D9}">
          <x14:formula1>
            <xm:f>data!$B:$B</xm:f>
          </x14:formula1>
          <xm:sqref>I11:I25</xm:sqref>
        </x14:dataValidation>
        <x14:dataValidation type="list" allowBlank="1" showInputMessage="1" showErrorMessage="1" xr:uid="{FC428493-F408-445C-B3FB-DCFB7ED6AD35}">
          <x14:formula1>
            <xm:f>data!$D:$D</xm:f>
          </x14:formula1>
          <xm:sqref>H11:H25</xm:sqref>
        </x14:dataValidation>
        <x14:dataValidation type="list" allowBlank="1" showInputMessage="1" showErrorMessage="1" xr:uid="{5595339C-32E1-4C30-A40A-F563934B335C}">
          <x14:formula1>
            <xm:f>data!$C:$C</xm:f>
          </x14:formula1>
          <xm:sqref>G11:G25</xm:sqref>
        </x14:dataValidation>
        <x14:dataValidation type="list" allowBlank="1" showInputMessage="1" showErrorMessage="1" xr:uid="{33A7759A-7C64-4C65-B420-6CC588A03D3C}">
          <x14:formula1>
            <xm:f>data!$A:$A</xm:f>
          </x14:formula1>
          <xm:sqref>C11:C25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69D0-4AB2-4A63-9ABD-9DE8E4AABD8E}">
  <dimension ref="A1:I27"/>
  <sheetViews>
    <sheetView workbookViewId="0">
      <selection activeCell="B5" sqref="B5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2" t="s">
        <v>98</v>
      </c>
    </row>
    <row r="5" spans="1:9" ht="30" x14ac:dyDescent="0.25">
      <c r="A5" s="3" t="s">
        <v>7</v>
      </c>
      <c r="B5" s="13">
        <v>1234</v>
      </c>
    </row>
    <row r="6" spans="1:9" x14ac:dyDescent="0.25">
      <c r="A6" s="3" t="s">
        <v>4</v>
      </c>
      <c r="B6" s="12" t="s">
        <v>99</v>
      </c>
    </row>
    <row r="7" spans="1:9" x14ac:dyDescent="0.25">
      <c r="A7" s="3" t="s">
        <v>5</v>
      </c>
      <c r="B7" s="12" t="s">
        <v>159</v>
      </c>
    </row>
    <row r="8" spans="1:9" x14ac:dyDescent="0.25">
      <c r="A8" s="3" t="s">
        <v>6</v>
      </c>
      <c r="B8" s="12" t="s">
        <v>100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 x14ac:dyDescent="0.25">
      <c r="A11" s="1">
        <v>1</v>
      </c>
      <c r="B11" s="3" t="s">
        <v>69</v>
      </c>
      <c r="C11" s="3" t="s">
        <v>17</v>
      </c>
      <c r="D11" s="14">
        <v>0.25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44</v>
      </c>
    </row>
    <row r="12" spans="1:9" ht="45" x14ac:dyDescent="0.25">
      <c r="A12" s="1">
        <v>2</v>
      </c>
      <c r="B12" s="3" t="s">
        <v>74</v>
      </c>
      <c r="C12" s="3" t="s">
        <v>17</v>
      </c>
      <c r="D12" s="14">
        <v>0.2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44</v>
      </c>
    </row>
    <row r="13" spans="1:9" ht="30" x14ac:dyDescent="0.25">
      <c r="A13" s="1">
        <v>3</v>
      </c>
      <c r="B13" s="3" t="s">
        <v>79</v>
      </c>
      <c r="C13" t="s">
        <v>16</v>
      </c>
      <c r="D13" s="15">
        <v>0.15</v>
      </c>
      <c r="E13" t="s">
        <v>80</v>
      </c>
      <c r="F13" t="s">
        <v>81</v>
      </c>
      <c r="G13" t="s">
        <v>72</v>
      </c>
      <c r="H13" t="s">
        <v>82</v>
      </c>
      <c r="I13" t="s">
        <v>20</v>
      </c>
    </row>
    <row r="14" spans="1:9" ht="30" x14ac:dyDescent="0.25">
      <c r="A14" s="1">
        <v>4</v>
      </c>
      <c r="B14" s="3" t="s">
        <v>83</v>
      </c>
      <c r="C14" t="s">
        <v>17</v>
      </c>
      <c r="D14" s="15">
        <v>0.1</v>
      </c>
      <c r="E14" t="s">
        <v>84</v>
      </c>
      <c r="F14" t="s">
        <v>85</v>
      </c>
      <c r="G14" t="s">
        <v>86</v>
      </c>
      <c r="H14" t="s">
        <v>87</v>
      </c>
      <c r="I14" t="s">
        <v>20</v>
      </c>
    </row>
    <row r="15" spans="1:9" x14ac:dyDescent="0.25">
      <c r="A15" s="1">
        <v>5</v>
      </c>
      <c r="B15" t="s">
        <v>88</v>
      </c>
      <c r="C15" t="s">
        <v>16</v>
      </c>
      <c r="D15" s="15">
        <v>0.2</v>
      </c>
      <c r="E15" t="s">
        <v>89</v>
      </c>
      <c r="F15" t="s">
        <v>90</v>
      </c>
      <c r="G15" t="s">
        <v>91</v>
      </c>
      <c r="H15" t="s">
        <v>92</v>
      </c>
      <c r="I15" t="s">
        <v>44</v>
      </c>
    </row>
    <row r="16" spans="1:9" x14ac:dyDescent="0.25">
      <c r="A16" s="1">
        <v>6</v>
      </c>
      <c r="B16" t="s">
        <v>93</v>
      </c>
      <c r="C16" t="s">
        <v>18</v>
      </c>
      <c r="D16" s="15">
        <v>0.1</v>
      </c>
      <c r="E16" t="s">
        <v>94</v>
      </c>
      <c r="F16" t="s">
        <v>95</v>
      </c>
      <c r="G16" t="s">
        <v>96</v>
      </c>
      <c r="H16" t="s">
        <v>97</v>
      </c>
      <c r="I16" t="s">
        <v>20</v>
      </c>
    </row>
    <row r="17" spans="1:4" x14ac:dyDescent="0.25">
      <c r="A17" s="1">
        <v>7</v>
      </c>
      <c r="D17" s="15"/>
    </row>
    <row r="18" spans="1:4" x14ac:dyDescent="0.25">
      <c r="A18" s="1">
        <v>8</v>
      </c>
      <c r="D18" s="15"/>
    </row>
    <row r="19" spans="1:4" x14ac:dyDescent="0.25">
      <c r="A19" s="1">
        <v>9</v>
      </c>
      <c r="D19" s="15"/>
    </row>
    <row r="20" spans="1:4" x14ac:dyDescent="0.25">
      <c r="A20" s="1">
        <v>10</v>
      </c>
      <c r="D20" s="15"/>
    </row>
    <row r="21" spans="1:4" x14ac:dyDescent="0.25">
      <c r="A21" s="1">
        <v>11</v>
      </c>
      <c r="D21" s="15"/>
    </row>
    <row r="22" spans="1:4" x14ac:dyDescent="0.25">
      <c r="A22" s="1">
        <v>12</v>
      </c>
      <c r="D22" s="15"/>
    </row>
    <row r="23" spans="1:4" x14ac:dyDescent="0.25">
      <c r="A23" s="1">
        <v>13</v>
      </c>
      <c r="D23" s="15"/>
    </row>
    <row r="24" spans="1:4" x14ac:dyDescent="0.25">
      <c r="A24" s="1">
        <v>14</v>
      </c>
      <c r="D24" s="15"/>
    </row>
    <row r="25" spans="1:4" x14ac:dyDescent="0.25">
      <c r="A25" s="1">
        <v>15</v>
      </c>
      <c r="D25" s="15"/>
    </row>
    <row r="26" spans="1:4" x14ac:dyDescent="0.25">
      <c r="D26" s="16">
        <f>SUM(D11:D25)</f>
        <v>0.99999999999999989</v>
      </c>
    </row>
    <row r="27" spans="1:4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3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AEF455-B1CA-483A-851D-694AE06656C2}">
          <x14:formula1>
            <xm:f>data!$A:$A</xm:f>
          </x14:formula1>
          <xm:sqref>C11:C25</xm:sqref>
        </x14:dataValidation>
        <x14:dataValidation type="list" allowBlank="1" showInputMessage="1" showErrorMessage="1" xr:uid="{ED30A582-70CB-4567-8FF8-023CDF65B827}">
          <x14:formula1>
            <xm:f>data!$C:$C</xm:f>
          </x14:formula1>
          <xm:sqref>G11:G25</xm:sqref>
        </x14:dataValidation>
        <x14:dataValidation type="list" allowBlank="1" showInputMessage="1" showErrorMessage="1" xr:uid="{E4674CF6-3B2C-4DAE-80BE-594AC836E6CB}">
          <x14:formula1>
            <xm:f>data!$D:$D</xm:f>
          </x14:formula1>
          <xm:sqref>H11:H25</xm:sqref>
        </x14:dataValidation>
        <x14:dataValidation type="list" allowBlank="1" showInputMessage="1" showErrorMessage="1" xr:uid="{6979667C-0EE1-482A-9A04-2C63588EC01B}">
          <x14:formula1>
            <xm:f>data!$B:$B</xm:f>
          </x14:formula1>
          <xm:sqref>I11:I25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BE70-CE6F-4C45-843A-D945F0593ACD}">
  <dimension ref="A1:I27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2" t="s">
        <v>101</v>
      </c>
    </row>
    <row r="5" spans="1:9" ht="30" x14ac:dyDescent="0.25">
      <c r="A5" s="3" t="s">
        <v>7</v>
      </c>
      <c r="B5" s="13">
        <v>1234</v>
      </c>
    </row>
    <row r="6" spans="1:9" x14ac:dyDescent="0.25">
      <c r="A6" s="3" t="s">
        <v>4</v>
      </c>
      <c r="B6" s="12" t="s">
        <v>22</v>
      </c>
    </row>
    <row r="7" spans="1:9" x14ac:dyDescent="0.25">
      <c r="A7" s="3" t="s">
        <v>5</v>
      </c>
      <c r="B7" s="12" t="s">
        <v>103</v>
      </c>
    </row>
    <row r="8" spans="1:9" x14ac:dyDescent="0.25">
      <c r="A8" s="3" t="s">
        <v>6</v>
      </c>
      <c r="B8" s="12" t="s">
        <v>102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30" x14ac:dyDescent="0.25">
      <c r="A11" s="1">
        <v>1</v>
      </c>
      <c r="B11" s="3" t="s">
        <v>104</v>
      </c>
      <c r="C11" s="3" t="s">
        <v>17</v>
      </c>
      <c r="D11" s="14">
        <v>0.2</v>
      </c>
      <c r="E11" s="3" t="s">
        <v>105</v>
      </c>
      <c r="F11" s="3" t="s">
        <v>22</v>
      </c>
      <c r="G11" s="3" t="s">
        <v>106</v>
      </c>
      <c r="H11" s="3" t="s">
        <v>107</v>
      </c>
      <c r="I11" s="3" t="s">
        <v>44</v>
      </c>
    </row>
    <row r="12" spans="1:9" ht="45" x14ac:dyDescent="0.25">
      <c r="A12" s="1">
        <v>2</v>
      </c>
      <c r="B12" s="3" t="s">
        <v>108</v>
      </c>
      <c r="C12" s="3" t="s">
        <v>17</v>
      </c>
      <c r="D12" s="14">
        <v>0.25</v>
      </c>
      <c r="E12" s="3" t="s">
        <v>109</v>
      </c>
      <c r="F12" s="3" t="s">
        <v>110</v>
      </c>
      <c r="G12" s="3" t="s">
        <v>96</v>
      </c>
      <c r="H12" s="3" t="s">
        <v>111</v>
      </c>
      <c r="I12" s="3" t="s">
        <v>44</v>
      </c>
    </row>
    <row r="13" spans="1:9" ht="30" x14ac:dyDescent="0.25">
      <c r="A13" s="1">
        <v>3</v>
      </c>
      <c r="B13" s="3" t="s">
        <v>112</v>
      </c>
      <c r="C13" t="s">
        <v>17</v>
      </c>
      <c r="D13" s="15">
        <v>0.15</v>
      </c>
      <c r="E13" t="s">
        <v>113</v>
      </c>
      <c r="F13" t="s">
        <v>114</v>
      </c>
      <c r="G13" t="s">
        <v>25</v>
      </c>
      <c r="H13" t="s">
        <v>115</v>
      </c>
      <c r="I13" t="s">
        <v>44</v>
      </c>
    </row>
    <row r="14" spans="1:9" ht="30" x14ac:dyDescent="0.25">
      <c r="A14" s="1">
        <v>4</v>
      </c>
      <c r="B14" s="3" t="s">
        <v>116</v>
      </c>
      <c r="C14" t="s">
        <v>17</v>
      </c>
      <c r="D14" s="15">
        <v>0.1</v>
      </c>
      <c r="E14" t="s">
        <v>117</v>
      </c>
      <c r="F14" t="s">
        <v>23</v>
      </c>
      <c r="G14" t="s">
        <v>26</v>
      </c>
      <c r="H14" t="s">
        <v>118</v>
      </c>
      <c r="I14" t="s">
        <v>20</v>
      </c>
    </row>
    <row r="15" spans="1:9" x14ac:dyDescent="0.25">
      <c r="A15" s="1">
        <v>5</v>
      </c>
      <c r="B15" t="s">
        <v>119</v>
      </c>
      <c r="C15" t="s">
        <v>17</v>
      </c>
      <c r="D15" s="15">
        <v>0.2</v>
      </c>
      <c r="E15" t="s">
        <v>120</v>
      </c>
      <c r="F15" t="s">
        <v>121</v>
      </c>
      <c r="G15" t="s">
        <v>122</v>
      </c>
      <c r="H15" t="s">
        <v>123</v>
      </c>
      <c r="I15" t="s">
        <v>44</v>
      </c>
    </row>
    <row r="16" spans="1:9" x14ac:dyDescent="0.25">
      <c r="A16" s="1">
        <v>6</v>
      </c>
      <c r="B16" t="s">
        <v>124</v>
      </c>
      <c r="C16" t="s">
        <v>17</v>
      </c>
      <c r="D16" s="15">
        <v>0.1</v>
      </c>
      <c r="E16" t="s">
        <v>125</v>
      </c>
      <c r="F16" t="s">
        <v>126</v>
      </c>
      <c r="G16" t="s">
        <v>25</v>
      </c>
      <c r="H16" t="s">
        <v>127</v>
      </c>
      <c r="I16" t="s">
        <v>44</v>
      </c>
    </row>
    <row r="17" spans="1:4" x14ac:dyDescent="0.25">
      <c r="A17" s="1">
        <v>7</v>
      </c>
      <c r="D17" s="15"/>
    </row>
    <row r="18" spans="1:4" x14ac:dyDescent="0.25">
      <c r="A18" s="1">
        <v>8</v>
      </c>
      <c r="D18" s="15"/>
    </row>
    <row r="19" spans="1:4" x14ac:dyDescent="0.25">
      <c r="A19" s="1">
        <v>9</v>
      </c>
      <c r="D19" s="15"/>
    </row>
    <row r="20" spans="1:4" x14ac:dyDescent="0.25">
      <c r="A20" s="1">
        <v>10</v>
      </c>
      <c r="D20" s="15"/>
    </row>
    <row r="21" spans="1:4" x14ac:dyDescent="0.25">
      <c r="A21" s="1">
        <v>11</v>
      </c>
      <c r="D21" s="15"/>
    </row>
    <row r="22" spans="1:4" x14ac:dyDescent="0.25">
      <c r="A22" s="1">
        <v>12</v>
      </c>
      <c r="D22" s="15"/>
    </row>
    <row r="23" spans="1:4" x14ac:dyDescent="0.25">
      <c r="A23" s="1">
        <v>13</v>
      </c>
      <c r="D23" s="15"/>
    </row>
    <row r="24" spans="1:4" x14ac:dyDescent="0.25">
      <c r="A24" s="1">
        <v>14</v>
      </c>
      <c r="D24" s="15"/>
    </row>
    <row r="25" spans="1:4" x14ac:dyDescent="0.25">
      <c r="A25" s="1">
        <v>15</v>
      </c>
      <c r="D25" s="15"/>
    </row>
    <row r="26" spans="1:4" x14ac:dyDescent="0.25">
      <c r="D26" s="16">
        <f>SUM(D11:D25)</f>
        <v>0.99999999999999989</v>
      </c>
    </row>
    <row r="27" spans="1:4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2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7359FF5-338A-4577-A08A-9FA0DAC42F3C}">
          <x14:formula1>
            <xm:f>data!$B:$B</xm:f>
          </x14:formula1>
          <xm:sqref>I11:I25</xm:sqref>
        </x14:dataValidation>
        <x14:dataValidation type="list" allowBlank="1" showInputMessage="1" showErrorMessage="1" xr:uid="{B26D289E-A9B0-438E-84CA-94F43FE3E06F}">
          <x14:formula1>
            <xm:f>data!$D:$D</xm:f>
          </x14:formula1>
          <xm:sqref>H11:H25</xm:sqref>
        </x14:dataValidation>
        <x14:dataValidation type="list" allowBlank="1" showInputMessage="1" showErrorMessage="1" xr:uid="{319DE28B-D3A6-4A7D-8564-AEC028EA4BE7}">
          <x14:formula1>
            <xm:f>data!$C:$C</xm:f>
          </x14:formula1>
          <xm:sqref>G11:G25</xm:sqref>
        </x14:dataValidation>
        <x14:dataValidation type="list" allowBlank="1" showInputMessage="1" showErrorMessage="1" xr:uid="{3F4E739A-4E7F-47A0-B9EA-2C04F5F04A5C}">
          <x14:formula1>
            <xm:f>data!$A:$A</xm:f>
          </x14:formula1>
          <xm:sqref>C11:C25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11DD-0AAC-4250-95BE-F428DAC214B8}">
  <dimension ref="A1:I27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2" t="s">
        <v>155</v>
      </c>
    </row>
    <row r="5" spans="1:9" ht="30" x14ac:dyDescent="0.25">
      <c r="A5" s="3" t="s">
        <v>7</v>
      </c>
      <c r="B5" s="13">
        <v>1234</v>
      </c>
    </row>
    <row r="6" spans="1:9" x14ac:dyDescent="0.25">
      <c r="A6" s="3" t="s">
        <v>4</v>
      </c>
      <c r="B6" s="12" t="s">
        <v>156</v>
      </c>
    </row>
    <row r="7" spans="1:9" x14ac:dyDescent="0.25">
      <c r="A7" s="3" t="s">
        <v>5</v>
      </c>
      <c r="B7" s="12" t="s">
        <v>157</v>
      </c>
    </row>
    <row r="8" spans="1:9" x14ac:dyDescent="0.25">
      <c r="A8" s="3" t="s">
        <v>6</v>
      </c>
      <c r="B8" s="12" t="s">
        <v>158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30" x14ac:dyDescent="0.25">
      <c r="A11" s="1">
        <v>1</v>
      </c>
      <c r="B11" s="3" t="s">
        <v>128</v>
      </c>
      <c r="C11" s="3" t="s">
        <v>16</v>
      </c>
      <c r="D11" s="14">
        <v>0.2</v>
      </c>
      <c r="E11" s="3" t="s">
        <v>129</v>
      </c>
      <c r="F11" s="3" t="s">
        <v>130</v>
      </c>
      <c r="G11" s="3" t="s">
        <v>131</v>
      </c>
      <c r="H11" s="3" t="s">
        <v>132</v>
      </c>
      <c r="I11" s="3" t="s">
        <v>44</v>
      </c>
    </row>
    <row r="12" spans="1:9" ht="45" x14ac:dyDescent="0.25">
      <c r="A12" s="1">
        <v>2</v>
      </c>
      <c r="B12" s="3" t="s">
        <v>133</v>
      </c>
      <c r="C12" s="3" t="s">
        <v>17</v>
      </c>
      <c r="D12" s="14">
        <v>0.25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44</v>
      </c>
    </row>
    <row r="13" spans="1:9" ht="30" x14ac:dyDescent="0.25">
      <c r="A13" s="1">
        <v>3</v>
      </c>
      <c r="B13" s="3" t="s">
        <v>138</v>
      </c>
      <c r="C13" t="s">
        <v>17</v>
      </c>
      <c r="D13" s="15">
        <v>0.2</v>
      </c>
      <c r="E13" t="s">
        <v>139</v>
      </c>
      <c r="F13" t="s">
        <v>140</v>
      </c>
      <c r="G13" t="s">
        <v>141</v>
      </c>
      <c r="H13" t="s">
        <v>142</v>
      </c>
      <c r="I13" t="s">
        <v>20</v>
      </c>
    </row>
    <row r="14" spans="1:9" ht="30" x14ac:dyDescent="0.25">
      <c r="A14" s="1">
        <v>4</v>
      </c>
      <c r="B14" s="3" t="s">
        <v>143</v>
      </c>
      <c r="C14" t="s">
        <v>17</v>
      </c>
      <c r="D14" s="15">
        <v>0.15</v>
      </c>
      <c r="E14" t="s">
        <v>144</v>
      </c>
      <c r="F14" t="s">
        <v>145</v>
      </c>
      <c r="G14" t="s">
        <v>141</v>
      </c>
      <c r="H14" t="s">
        <v>146</v>
      </c>
      <c r="I14" t="s">
        <v>44</v>
      </c>
    </row>
    <row r="15" spans="1:9" x14ac:dyDescent="0.25">
      <c r="A15" s="1">
        <v>5</v>
      </c>
      <c r="B15" t="s">
        <v>147</v>
      </c>
      <c r="C15" t="s">
        <v>18</v>
      </c>
      <c r="D15" s="15">
        <v>0.1</v>
      </c>
      <c r="E15" t="s">
        <v>148</v>
      </c>
      <c r="F15" t="s">
        <v>149</v>
      </c>
      <c r="G15" t="s">
        <v>86</v>
      </c>
      <c r="H15" t="s">
        <v>150</v>
      </c>
      <c r="I15" t="s">
        <v>20</v>
      </c>
    </row>
    <row r="16" spans="1:9" x14ac:dyDescent="0.25">
      <c r="A16" s="1">
        <v>6</v>
      </c>
      <c r="B16" t="s">
        <v>151</v>
      </c>
      <c r="C16" t="s">
        <v>17</v>
      </c>
      <c r="D16" s="15">
        <v>0.1</v>
      </c>
      <c r="E16" t="s">
        <v>152</v>
      </c>
      <c r="F16" t="s">
        <v>153</v>
      </c>
      <c r="G16" t="s">
        <v>25</v>
      </c>
      <c r="H16" t="s">
        <v>154</v>
      </c>
      <c r="I16" t="s">
        <v>44</v>
      </c>
    </row>
    <row r="17" spans="1:4" x14ac:dyDescent="0.25">
      <c r="A17" s="1">
        <v>7</v>
      </c>
      <c r="D17" s="15"/>
    </row>
    <row r="18" spans="1:4" x14ac:dyDescent="0.25">
      <c r="A18" s="1">
        <v>8</v>
      </c>
      <c r="D18" s="15"/>
    </row>
    <row r="19" spans="1:4" x14ac:dyDescent="0.25">
      <c r="A19" s="1">
        <v>9</v>
      </c>
      <c r="D19" s="15"/>
    </row>
    <row r="20" spans="1:4" x14ac:dyDescent="0.25">
      <c r="A20" s="1">
        <v>10</v>
      </c>
      <c r="D20" s="15"/>
    </row>
    <row r="21" spans="1:4" x14ac:dyDescent="0.25">
      <c r="A21" s="1">
        <v>11</v>
      </c>
      <c r="D21" s="15"/>
    </row>
    <row r="22" spans="1:4" x14ac:dyDescent="0.25">
      <c r="A22" s="1">
        <v>12</v>
      </c>
      <c r="D22" s="15"/>
    </row>
    <row r="23" spans="1:4" x14ac:dyDescent="0.25">
      <c r="A23" s="1">
        <v>13</v>
      </c>
      <c r="D23" s="15"/>
    </row>
    <row r="24" spans="1:4" x14ac:dyDescent="0.25">
      <c r="A24" s="1">
        <v>14</v>
      </c>
      <c r="D24" s="15"/>
    </row>
    <row r="25" spans="1:4" x14ac:dyDescent="0.25">
      <c r="A25" s="1">
        <v>15</v>
      </c>
      <c r="D25" s="15"/>
    </row>
    <row r="26" spans="1:4" x14ac:dyDescent="0.25">
      <c r="D26" s="16">
        <f>SUM(D11:D25)</f>
        <v>1</v>
      </c>
    </row>
    <row r="27" spans="1:4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1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A0B4CB-43D5-4831-AB42-84ECAFC2A073}">
          <x14:formula1>
            <xm:f>data!$A:$A</xm:f>
          </x14:formula1>
          <xm:sqref>C11:C25</xm:sqref>
        </x14:dataValidation>
        <x14:dataValidation type="list" allowBlank="1" showInputMessage="1" showErrorMessage="1" xr:uid="{F676AC10-2E4E-473A-882D-44546B673076}">
          <x14:formula1>
            <xm:f>data!$C:$C</xm:f>
          </x14:formula1>
          <xm:sqref>G11:G25</xm:sqref>
        </x14:dataValidation>
        <x14:dataValidation type="list" allowBlank="1" showInputMessage="1" showErrorMessage="1" xr:uid="{9A3F435E-0B1F-4979-8F88-B4307A3A412C}">
          <x14:formula1>
            <xm:f>data!$D:$D</xm:f>
          </x14:formula1>
          <xm:sqref>H11:H25</xm:sqref>
        </x14:dataValidation>
        <x14:dataValidation type="list" allowBlank="1" showInputMessage="1" showErrorMessage="1" xr:uid="{C6095A44-DD6E-48E9-97E5-A922509E84BB}">
          <x14:formula1>
            <xm:f>data!$B:$B</xm:f>
          </x14:formula1>
          <xm:sqref>I11:I25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F405-9951-46DA-8E75-732D3A818E67}">
  <dimension ref="A1:I27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 x14ac:dyDescent="0.25">
      <c r="A1" s="18" t="s">
        <v>0</v>
      </c>
      <c r="B1" s="18"/>
    </row>
    <row r="3" spans="1:9" x14ac:dyDescent="0.25">
      <c r="A3" s="2" t="s">
        <v>1</v>
      </c>
      <c r="B3" s="2" t="s">
        <v>2</v>
      </c>
    </row>
    <row r="4" spans="1:9" x14ac:dyDescent="0.25">
      <c r="A4" s="3" t="s">
        <v>3</v>
      </c>
      <c r="B4" s="12" t="s">
        <v>160</v>
      </c>
    </row>
    <row r="5" spans="1:9" ht="30" x14ac:dyDescent="0.25">
      <c r="A5" s="3" t="s">
        <v>7</v>
      </c>
      <c r="B5" s="13">
        <v>1234</v>
      </c>
    </row>
    <row r="6" spans="1:9" x14ac:dyDescent="0.25">
      <c r="A6" s="3" t="s">
        <v>4</v>
      </c>
      <c r="B6" s="12" t="s">
        <v>161</v>
      </c>
    </row>
    <row r="7" spans="1:9" x14ac:dyDescent="0.25">
      <c r="A7" s="3" t="s">
        <v>5</v>
      </c>
      <c r="B7" s="12" t="s">
        <v>162</v>
      </c>
    </row>
    <row r="8" spans="1:9" x14ac:dyDescent="0.25">
      <c r="A8" s="3" t="s">
        <v>6</v>
      </c>
      <c r="B8" s="12" t="s">
        <v>163</v>
      </c>
    </row>
    <row r="10" spans="1:9" ht="45" x14ac:dyDescent="0.2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 x14ac:dyDescent="0.25">
      <c r="A11" s="1">
        <v>1</v>
      </c>
      <c r="B11" s="3" t="s">
        <v>164</v>
      </c>
      <c r="C11" s="3" t="s">
        <v>16</v>
      </c>
      <c r="D11" s="14">
        <v>0.3</v>
      </c>
      <c r="E11" s="3" t="s">
        <v>165</v>
      </c>
      <c r="F11" s="3" t="s">
        <v>166</v>
      </c>
      <c r="G11" s="3" t="s">
        <v>77</v>
      </c>
      <c r="H11" s="3" t="s">
        <v>167</v>
      </c>
      <c r="I11" s="3" t="s">
        <v>44</v>
      </c>
    </row>
    <row r="12" spans="1:9" ht="30" x14ac:dyDescent="0.25">
      <c r="A12" s="1">
        <v>2</v>
      </c>
      <c r="B12" s="3" t="s">
        <v>168</v>
      </c>
      <c r="C12" s="3" t="s">
        <v>17</v>
      </c>
      <c r="D12" s="14">
        <v>0.2</v>
      </c>
      <c r="E12" s="3" t="s">
        <v>169</v>
      </c>
      <c r="F12" s="3" t="s">
        <v>170</v>
      </c>
      <c r="G12" s="3" t="s">
        <v>77</v>
      </c>
      <c r="H12" s="3" t="s">
        <v>171</v>
      </c>
      <c r="I12" s="3" t="s">
        <v>44</v>
      </c>
    </row>
    <row r="13" spans="1:9" ht="45" x14ac:dyDescent="0.25">
      <c r="A13" s="1">
        <v>3</v>
      </c>
      <c r="B13" s="3" t="s">
        <v>172</v>
      </c>
      <c r="C13" t="s">
        <v>17</v>
      </c>
      <c r="D13" s="15">
        <v>0.15</v>
      </c>
      <c r="E13" t="s">
        <v>173</v>
      </c>
      <c r="F13" t="s">
        <v>166</v>
      </c>
      <c r="G13" t="s">
        <v>91</v>
      </c>
      <c r="H13" t="s">
        <v>174</v>
      </c>
      <c r="I13" t="s">
        <v>44</v>
      </c>
    </row>
    <row r="14" spans="1:9" ht="30" x14ac:dyDescent="0.25">
      <c r="A14" s="1">
        <v>4</v>
      </c>
      <c r="B14" s="3" t="s">
        <v>175</v>
      </c>
      <c r="C14" t="s">
        <v>17</v>
      </c>
      <c r="D14" s="15">
        <v>0.2</v>
      </c>
      <c r="E14" t="s">
        <v>176</v>
      </c>
      <c r="F14" t="s">
        <v>170</v>
      </c>
      <c r="G14" t="s">
        <v>177</v>
      </c>
      <c r="H14" t="s">
        <v>178</v>
      </c>
      <c r="I14" t="s">
        <v>44</v>
      </c>
    </row>
    <row r="15" spans="1:9" x14ac:dyDescent="0.25">
      <c r="A15" s="1">
        <v>5</v>
      </c>
      <c r="B15" t="s">
        <v>179</v>
      </c>
      <c r="C15" t="s">
        <v>180</v>
      </c>
      <c r="D15" s="15">
        <v>0.1</v>
      </c>
      <c r="E15" t="s">
        <v>181</v>
      </c>
      <c r="F15" t="s">
        <v>166</v>
      </c>
      <c r="G15" t="s">
        <v>91</v>
      </c>
      <c r="H15" t="s">
        <v>182</v>
      </c>
      <c r="I15" t="s">
        <v>20</v>
      </c>
    </row>
    <row r="16" spans="1:9" x14ac:dyDescent="0.25">
      <c r="A16" s="1">
        <v>6</v>
      </c>
      <c r="B16" t="s">
        <v>183</v>
      </c>
      <c r="C16" t="s">
        <v>17</v>
      </c>
      <c r="D16" s="15">
        <v>0.05</v>
      </c>
      <c r="E16" t="s">
        <v>184</v>
      </c>
      <c r="F16" t="s">
        <v>161</v>
      </c>
      <c r="G16" t="s">
        <v>26</v>
      </c>
      <c r="H16" t="s">
        <v>185</v>
      </c>
      <c r="I16" t="s">
        <v>20</v>
      </c>
    </row>
    <row r="17" spans="1:4" x14ac:dyDescent="0.25">
      <c r="A17" s="1">
        <v>7</v>
      </c>
      <c r="D17" s="15"/>
    </row>
    <row r="18" spans="1:4" x14ac:dyDescent="0.25">
      <c r="A18" s="1">
        <v>8</v>
      </c>
      <c r="D18" s="15"/>
    </row>
    <row r="19" spans="1:4" x14ac:dyDescent="0.25">
      <c r="A19" s="1">
        <v>9</v>
      </c>
      <c r="D19" s="15"/>
    </row>
    <row r="20" spans="1:4" x14ac:dyDescent="0.25">
      <c r="A20" s="1">
        <v>10</v>
      </c>
      <c r="D20" s="15"/>
    </row>
    <row r="21" spans="1:4" x14ac:dyDescent="0.25">
      <c r="A21" s="1">
        <v>11</v>
      </c>
      <c r="D21" s="15"/>
    </row>
    <row r="22" spans="1:4" x14ac:dyDescent="0.25">
      <c r="A22" s="1">
        <v>12</v>
      </c>
      <c r="D22" s="15"/>
    </row>
    <row r="23" spans="1:4" x14ac:dyDescent="0.25">
      <c r="A23" s="1">
        <v>13</v>
      </c>
      <c r="D23" s="15"/>
    </row>
    <row r="24" spans="1:4" x14ac:dyDescent="0.25">
      <c r="A24" s="1">
        <v>14</v>
      </c>
      <c r="D24" s="15"/>
    </row>
    <row r="25" spans="1:4" x14ac:dyDescent="0.25">
      <c r="A25" s="1">
        <v>15</v>
      </c>
      <c r="D25" s="15"/>
    </row>
    <row r="26" spans="1:4" x14ac:dyDescent="0.25">
      <c r="D26" s="16">
        <f>SUM(D11:D25)</f>
        <v>1</v>
      </c>
    </row>
    <row r="27" spans="1:4" ht="18.75" x14ac:dyDescent="0.3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0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F30A70-1130-41A0-98A8-4A62A3ADE995}">
          <x14:formula1>
            <xm:f>data!$B:$B</xm:f>
          </x14:formula1>
          <xm:sqref>I11:I25</xm:sqref>
        </x14:dataValidation>
        <x14:dataValidation type="list" allowBlank="1" showInputMessage="1" showErrorMessage="1" xr:uid="{125A166D-430F-4B66-83C6-0D42A9ECA0E8}">
          <x14:formula1>
            <xm:f>data!$D:$D</xm:f>
          </x14:formula1>
          <xm:sqref>H11:H25</xm:sqref>
        </x14:dataValidation>
        <x14:dataValidation type="list" allowBlank="1" showInputMessage="1" showErrorMessage="1" xr:uid="{DAFB116A-F71B-43CD-8571-584D79E6F569}">
          <x14:formula1>
            <xm:f>data!$C:$C</xm:f>
          </x14:formula1>
          <xm:sqref>G11:G25</xm:sqref>
        </x14:dataValidation>
        <x14:dataValidation type="list" allowBlank="1" showInputMessage="1" showErrorMessage="1" xr:uid="{B9CCAF18-C27F-46FC-B92D-01CD258D7AE0}">
          <x14:formula1>
            <xm:f>data!$A:$A</xm:f>
          </x14:formula1>
          <xm:sqref>C11:C25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E6BC-A5D3-41F2-886E-5AF6E68D42AE}">
  <dimension ref="A1:D5"/>
  <sheetViews>
    <sheetView workbookViewId="0">
      <selection activeCell="B3" sqref="B3"/>
    </sheetView>
  </sheetViews>
  <sheetFormatPr defaultRowHeight="15" x14ac:dyDescent="0.25"/>
  <cols>
    <col min="1" max="4" width="26" customWidth="1"/>
  </cols>
  <sheetData>
    <row r="1" spans="1:4" x14ac:dyDescent="0.25">
      <c r="A1" t="s">
        <v>16</v>
      </c>
      <c r="B1" t="s">
        <v>20</v>
      </c>
      <c r="C1" t="s">
        <v>24</v>
      </c>
      <c r="D1" t="s">
        <v>28</v>
      </c>
    </row>
    <row r="2" spans="1:4" x14ac:dyDescent="0.25">
      <c r="A2" t="s">
        <v>17</v>
      </c>
      <c r="B2" t="s">
        <v>21</v>
      </c>
      <c r="C2" t="s">
        <v>25</v>
      </c>
      <c r="D2" t="s">
        <v>29</v>
      </c>
    </row>
    <row r="3" spans="1:4" x14ac:dyDescent="0.25">
      <c r="A3" t="s">
        <v>18</v>
      </c>
      <c r="B3" t="s">
        <v>33</v>
      </c>
      <c r="C3" t="s">
        <v>27</v>
      </c>
      <c r="D3" t="s">
        <v>30</v>
      </c>
    </row>
    <row r="4" spans="1:4" x14ac:dyDescent="0.25">
      <c r="A4" t="s">
        <v>19</v>
      </c>
      <c r="D4" t="s">
        <v>31</v>
      </c>
    </row>
    <row r="5" spans="1:4" x14ac:dyDescent="0.25">
      <c r="D5" t="s">
        <v>32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Smpl-FIN</vt:lpstr>
      <vt:lpstr>Smpl-HR</vt:lpstr>
      <vt:lpstr>Smpl-PMO</vt:lpstr>
      <vt:lpstr>Smpl-Procurement</vt:lpstr>
      <vt:lpstr>Smpl-Exec Assist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Mohammed Al Shamlan</dc:creator>
  <cp:lastModifiedBy>Atif Ahsan</cp:lastModifiedBy>
  <dcterms:created xsi:type="dcterms:W3CDTF">2026-03-29T08:46:55Z</dcterms:created>
  <dcterms:modified xsi:type="dcterms:W3CDTF">2026-04-02T09:11:57Z</dcterms:modified>
</cp:coreProperties>
</file>